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清單" sheetId="1" state="visible" r:id="rId2"/>
    <sheet name="請購流程" sheetId="2" state="visible" r:id="rId3"/>
    <sheet name="廠商" sheetId="3" state="visible" r:id="rId4"/>
    <sheet name="Sum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<sst xmlns="http://schemas.openxmlformats.org/spreadsheetml/2006/main" count="468" uniqueCount="141">
  <si>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</si>
  <si>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</si>
  <si>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</si>
  <si>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</si>
  <si>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</si>
  <si>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</si>
  <si>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</si>
  <si>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</si>
  <si>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</si>
  <si>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</si>
  <si>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</si>
  <si>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</si>
  <si>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</si>
  <si>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</si>
  <si>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</si>
  <si>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</si>
  <si>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</si>
  <si>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</si>
  <si>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</si>
  <si>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</si>
  <si>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</si>
  <si>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</si>
  <si>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</si>
  <si>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</si>
  <si>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</si>
  <si>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</si>
  <si>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</si>
  <si>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LU90288239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</si>
  <si>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</si>
  <si>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</si>
  <si>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</si>
  <si>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</si>
  <si>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</si>
  <si>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</si>
  <si>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</si>
  <si>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</si>
  <si>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</si>
  <si>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</si>
  <si>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</si>
  <si>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</si>
  <si>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</si>
  <si>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</si>
  <si>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</si>
  <si>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</si>
  <si>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</si>
  <si>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</si>
  <si>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</si>
  <si>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</si>
  <si>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</si>
  <si>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</si>
  <si>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</si>
  <si>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</si>
  <si>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</si>
  <si>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</si>
  <si>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</si>
  <si>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未開</t>
  </si>
  <si>
    <t xml:space="preserve">台南醫院審核中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</si>
  <si>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</si>
  <si>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</si>
  <si>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</si>
  <si>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</si>
  <si>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</si>
  <si>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</si>
  <si>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</si>
  <si>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</si>
  <si>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</si>
  <si>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</si>
  <si>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</si>
  <si>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</si>
  <si>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</si>
  <si>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</si>
  <si>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</si>
  <si>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</si>
  <si>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待送估價單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</si>
  <si>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</si>
  <si>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</si>
  <si>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</si>
  <si>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</si>
  <si>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</si>
  <si>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</si>
  <si>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</si>
  <si>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</si>
  <si>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</si>
  <si>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</si>
  <si>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</si>
  <si>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</si>
  <si>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</si>
  <si>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</si>
  <si>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</si>
  <si>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</si>
  <si>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</si>
  <si>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</si>
  <si>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</si>
  <si>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</si>
  <si>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</si>
  <si>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</si>
  <si>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</si>
  <si>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</si>
  <si>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</si>
  <si>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</si>
  <si>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</si>
  <si>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</si>
  <si>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</si>
  <si>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</si>
  <si>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</si>
  <si>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</si>
  <si>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</si>
  <si>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統編</t>
  </si>
  <si>
    <t xml:space="preserve">戶名</t>
  </si>
  <si>
    <t xml:space="preserve">帳號</t>
  </si>
  <si>
    <t xml:space="preserve">銀行</t>
  </si>
  <si>
    <t xml:space="preserve">地址</t>
  </si>
  <si>
    <t xml:space="preserve">電話</t>
  </si>
  <si>
    <t xml:space="preserve">華翊儀器行</t>
  </si>
  <si>
    <t xml:space="preserve">710-12-078484</t>
  </si>
  <si>
    <t xml:space="preserve">台灣企銀</t>
  </si>
  <si>
    <t xml:space="preserve">台南分行</t>
  </si>
  <si>
    <t xml:space="preserve">台南市府前一街123號7F</t>
  </si>
  <si>
    <t xml:space="preserve">06-2630623</t>
  </si>
  <si>
    <t xml:space="preserve">星月基因有限公司</t>
  </si>
  <si>
    <t xml:space="preserve">5678-86-01314000</t>
  </si>
  <si>
    <t xml:space="preserve">彰化銀行</t>
  </si>
  <si>
    <t xml:space="preserve">雙和分行</t>
  </si>
  <si>
    <t xml:space="preserve">新北市中和區中正路928號4樓</t>
  </si>
  <si>
    <t xml:space="preserve">02-22233980</t>
  </si>
  <si>
    <t xml:space="preserve">友和貿易股份有限公司</t>
  </si>
  <si>
    <t xml:space="preserve">96890159888900</t>
  </si>
  <si>
    <t xml:space="preserve">林口分行</t>
  </si>
  <si>
    <t xml:space="preserve">新北市林口區文化一路一段93號3樓之2</t>
  </si>
  <si>
    <t xml:space="preserve">02-26000611</t>
  </si>
  <si>
    <t xml:space="preserve">泛群科技有限公司</t>
  </si>
  <si>
    <t xml:space="preserve">119001012557</t>
  </si>
  <si>
    <t xml:space="preserve">台灣銀行</t>
  </si>
  <si>
    <t xml:space="preserve">博愛分行</t>
  </si>
  <si>
    <t xml:space="preserve">07-3745699</t>
  </si>
  <si>
    <t xml:space="preserve">0635-440-000886</t>
  </si>
  <si>
    <t xml:space="preserve">玉山銀行</t>
  </si>
  <si>
    <t xml:space="preserve">左營分行</t>
  </si>
  <si>
    <t xml:space="preserve">發票</t>
  </si>
  <si>
    <t xml:space="preserve">營業稅</t>
  </si>
  <si>
    <t xml:space="preserve">總計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</si>
</sst>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  <font>
      <b val="true"/>
      <sz val="16"/>
      <color rgb="FF000000"/>
      <name val="DejaVu Sans"/>
      <family val="2"/>
    </font>
    <font>
      <sz val="11"/>
      <color rgb="FF000000"/>
      <name val="DejaVu Sans"/>
      <family val="2"/>
    </font>
    <font>
      <sz val="7"/>
      <color rgb="FFFF0000"/>
      <name val="Calibri"/>
      <family val="0"/>
    </font>
    <font>
      <sz val="7"/>
      <color rgb="FFFF0000"/>
      <name val="DejaVu Sans"/>
      <family val="2"/>
    </font>
    <font>
      <b val="true"/>
      <sz val="8"/>
      <color rgb="FF0000FF"/>
      <name val="Calibri"/>
      <family val="0"/>
    </font>
    <font>
      <b val="true"/>
      <sz val="8"/>
      <color rgb="FF0000FF"/>
      <name val="DejaVu Sans"/>
      <family val="2"/>
    </font>
    <font>
      <sz val="11"/>
      <color rgb="FF000000"/>
      <name val="Calibri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228600</xdr:colOff>
      <xdr:row>4</xdr:row>
      <xdr:rowOff>0</xdr:rowOff>
    </xdr:from>
    <xdr:to>
      <xdr:col>3</xdr:col>
      <xdr:colOff>282960</xdr:colOff>
      <xdr:row>5</xdr:row>
      <xdr:rowOff>111600</xdr:rowOff>
    </xdr:to>
    <xdr:sp>
      <xdr:nvSpPr>
        <xdr:cNvPr id="0" name="文字方塊 1"/>
        <xdr:cNvSpPr/>
      </xdr:nvSpPr>
      <xdr:spPr>
        <a:xfrm>
          <a:off x="902160" y="800280"/>
          <a:ext cx="1401840" cy="31140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成功大學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9360</xdr:colOff>
      <xdr:row>4</xdr:row>
      <xdr:rowOff>9360</xdr:rowOff>
    </xdr:from>
    <xdr:to>
      <xdr:col>7</xdr:col>
      <xdr:colOff>63720</xdr:colOff>
      <xdr:row>5</xdr:row>
      <xdr:rowOff>120960</xdr:rowOff>
    </xdr:to>
    <xdr:sp>
      <xdr:nvSpPr>
        <xdr:cNvPr id="1" name="文字方塊 2"/>
        <xdr:cNvSpPr/>
      </xdr:nvSpPr>
      <xdr:spPr>
        <a:xfrm>
          <a:off x="3377880" y="809640"/>
          <a:ext cx="1401840" cy="31140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台南醫院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333360</xdr:colOff>
      <xdr:row>6</xdr:row>
      <xdr:rowOff>162000</xdr:rowOff>
    </xdr:from>
    <xdr:to>
      <xdr:col>3</xdr:col>
      <xdr:colOff>149400</xdr:colOff>
      <xdr:row>7</xdr:row>
      <xdr:rowOff>178200</xdr:rowOff>
    </xdr:to>
    <xdr:sp>
      <xdr:nvSpPr>
        <xdr:cNvPr id="2" name="文字方塊 3"/>
        <xdr:cNvSpPr/>
      </xdr:nvSpPr>
      <xdr:spPr>
        <a:xfrm>
          <a:off x="1006920" y="1362240"/>
          <a:ext cx="1163520" cy="21600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電子估價單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99720</xdr:colOff>
      <xdr:row>6</xdr:row>
      <xdr:rowOff>175680</xdr:rowOff>
    </xdr:from>
    <xdr:to>
      <xdr:col>6</xdr:col>
      <xdr:colOff>525600</xdr:colOff>
      <xdr:row>7</xdr:row>
      <xdr:rowOff>189720</xdr:rowOff>
    </xdr:to>
    <xdr:sp>
      <xdr:nvSpPr>
        <xdr:cNvPr id="3" name="文字方塊 4"/>
        <xdr:cNvSpPr/>
      </xdr:nvSpPr>
      <xdr:spPr>
        <a:xfrm>
          <a:off x="3468240" y="1375920"/>
          <a:ext cx="1099800" cy="21384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申請採購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152280</xdr:colOff>
      <xdr:row>7</xdr:row>
      <xdr:rowOff>72360</xdr:rowOff>
    </xdr:from>
    <xdr:to>
      <xdr:col>5</xdr:col>
      <xdr:colOff>84960</xdr:colOff>
      <xdr:row>7</xdr:row>
      <xdr:rowOff>77400</xdr:rowOff>
    </xdr:to>
    <xdr:sp>
      <xdr:nvSpPr>
        <xdr:cNvPr id="4" name="直線單箭頭接點 6"/>
        <xdr:cNvSpPr/>
      </xdr:nvSpPr>
      <xdr:spPr>
        <a:xfrm>
          <a:off x="2173320" y="1472400"/>
          <a:ext cx="1280160" cy="504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102600</xdr:colOff>
      <xdr:row>9</xdr:row>
      <xdr:rowOff>168480</xdr:rowOff>
    </xdr:from>
    <xdr:to>
      <xdr:col>6</xdr:col>
      <xdr:colOff>528480</xdr:colOff>
      <xdr:row>12</xdr:row>
      <xdr:rowOff>48240</xdr:rowOff>
    </xdr:to>
    <xdr:sp>
      <xdr:nvSpPr>
        <xdr:cNvPr id="5" name="文字方塊 9"/>
        <xdr:cNvSpPr/>
      </xdr:nvSpPr>
      <xdr:spPr>
        <a:xfrm>
          <a:off x="3471120" y="1968840"/>
          <a:ext cx="1099800" cy="47988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總務室通知可開立發票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6</xdr:col>
      <xdr:colOff>9720</xdr:colOff>
      <xdr:row>7</xdr:row>
      <xdr:rowOff>192600</xdr:rowOff>
    </xdr:from>
    <xdr:to>
      <xdr:col>6</xdr:col>
      <xdr:colOff>10080</xdr:colOff>
      <xdr:row>9</xdr:row>
      <xdr:rowOff>165600</xdr:rowOff>
    </xdr:to>
    <xdr:sp>
      <xdr:nvSpPr>
        <xdr:cNvPr id="6" name="直線單箭頭接點 10"/>
        <xdr:cNvSpPr/>
      </xdr:nvSpPr>
      <xdr:spPr>
        <a:xfrm>
          <a:off x="4052160" y="1592640"/>
          <a:ext cx="360" cy="37332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7</xdr:col>
      <xdr:colOff>29160</xdr:colOff>
      <xdr:row>9</xdr:row>
      <xdr:rowOff>168480</xdr:rowOff>
    </xdr:from>
    <xdr:to>
      <xdr:col>9</xdr:col>
      <xdr:colOff>429120</xdr:colOff>
      <xdr:row>12</xdr:row>
      <xdr:rowOff>48240</xdr:rowOff>
    </xdr:to>
    <xdr:sp>
      <xdr:nvSpPr>
        <xdr:cNvPr id="7" name="文字方塊 13"/>
        <xdr:cNvSpPr/>
      </xdr:nvSpPr>
      <xdr:spPr>
        <a:xfrm>
          <a:off x="4745160" y="1968840"/>
          <a:ext cx="1747440" cy="47988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1.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等採購申請跑完</a:t>
          </a:r>
          <a:endParaRPr b="0" lang="en-CA" sz="7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2. 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發票日期需要開立在流程結束之後</a:t>
          </a:r>
          <a:endParaRPr b="0" lang="en-CA" sz="7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167040</xdr:colOff>
      <xdr:row>10</xdr:row>
      <xdr:rowOff>189000</xdr:rowOff>
    </xdr:from>
    <xdr:to>
      <xdr:col>5</xdr:col>
      <xdr:colOff>109800</xdr:colOff>
      <xdr:row>10</xdr:row>
      <xdr:rowOff>191160</xdr:rowOff>
    </xdr:to>
    <xdr:sp>
      <xdr:nvSpPr>
        <xdr:cNvPr id="8" name="直線單箭頭接點 14"/>
        <xdr:cNvSpPr/>
      </xdr:nvSpPr>
      <xdr:spPr>
        <a:xfrm flipH="1" flipV="1">
          <a:off x="2188080" y="2189160"/>
          <a:ext cx="1290240" cy="216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344520</xdr:colOff>
      <xdr:row>9</xdr:row>
      <xdr:rowOff>146520</xdr:rowOff>
    </xdr:from>
    <xdr:to>
      <xdr:col>3</xdr:col>
      <xdr:colOff>160560</xdr:colOff>
      <xdr:row>12</xdr:row>
      <xdr:rowOff>48240</xdr:rowOff>
    </xdr:to>
    <xdr:sp>
      <xdr:nvSpPr>
        <xdr:cNvPr id="9" name="文字方塊 17"/>
        <xdr:cNvSpPr/>
      </xdr:nvSpPr>
      <xdr:spPr>
        <a:xfrm>
          <a:off x="1018080" y="1946880"/>
          <a:ext cx="1163520" cy="50184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通知廠商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336960</xdr:colOff>
      <xdr:row>14</xdr:row>
      <xdr:rowOff>21960</xdr:rowOff>
    </xdr:from>
    <xdr:to>
      <xdr:col>3</xdr:col>
      <xdr:colOff>153000</xdr:colOff>
      <xdr:row>16</xdr:row>
      <xdr:rowOff>121680</xdr:rowOff>
    </xdr:to>
    <xdr:sp>
      <xdr:nvSpPr>
        <xdr:cNvPr id="10" name="文字方塊 18"/>
        <xdr:cNvSpPr/>
      </xdr:nvSpPr>
      <xdr:spPr>
        <a:xfrm>
          <a:off x="1010520" y="2822400"/>
          <a:ext cx="1163520" cy="49968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收到發票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物品拍照驗收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</xdr:col>
      <xdr:colOff>257400</xdr:colOff>
      <xdr:row>12</xdr:row>
      <xdr:rowOff>59400</xdr:rowOff>
    </xdr:from>
    <xdr:to>
      <xdr:col>2</xdr:col>
      <xdr:colOff>257760</xdr:colOff>
      <xdr:row>14</xdr:row>
      <xdr:rowOff>32400</xdr:rowOff>
    </xdr:to>
    <xdr:sp>
      <xdr:nvSpPr>
        <xdr:cNvPr id="11" name="直線單箭頭接點 19"/>
        <xdr:cNvSpPr/>
      </xdr:nvSpPr>
      <xdr:spPr>
        <a:xfrm>
          <a:off x="1604880" y="2459880"/>
          <a:ext cx="360" cy="37296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143640</xdr:colOff>
      <xdr:row>15</xdr:row>
      <xdr:rowOff>85680</xdr:rowOff>
    </xdr:from>
    <xdr:to>
      <xdr:col>5</xdr:col>
      <xdr:colOff>76320</xdr:colOff>
      <xdr:row>15</xdr:row>
      <xdr:rowOff>90720</xdr:rowOff>
    </xdr:to>
    <xdr:sp>
      <xdr:nvSpPr>
        <xdr:cNvPr id="12" name="直線單箭頭接點 20"/>
        <xdr:cNvSpPr/>
      </xdr:nvSpPr>
      <xdr:spPr>
        <a:xfrm>
          <a:off x="2164680" y="3085920"/>
          <a:ext cx="1280160" cy="504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80640</xdr:colOff>
      <xdr:row>14</xdr:row>
      <xdr:rowOff>43920</xdr:rowOff>
    </xdr:from>
    <xdr:to>
      <xdr:col>6</xdr:col>
      <xdr:colOff>505080</xdr:colOff>
      <xdr:row>16</xdr:row>
      <xdr:rowOff>143640</xdr:rowOff>
    </xdr:to>
    <xdr:sp>
      <xdr:nvSpPr>
        <xdr:cNvPr id="13" name="文字方塊 21"/>
        <xdr:cNvSpPr/>
      </xdr:nvSpPr>
      <xdr:spPr>
        <a:xfrm>
          <a:off x="3449160" y="2844360"/>
          <a:ext cx="1098360" cy="49968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核銷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(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發票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+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照片</a:t>
          </a:r>
          <a:r>
            <a:rPr b="0" lang="en-US" sz="1100" spc="-1" strike="noStrike">
              <a:solidFill>
                <a:srgbClr val="000000"/>
              </a:solidFill>
              <a:latin typeface="Calibri"/>
            </a:rPr>
            <a:t>)</a:t>
          </a:r>
          <a:endParaRPr b="0" lang="en-CA" sz="1100" spc="-1" strike="noStrike">
            <a:latin typeface="Times New Roman"/>
          </a:endParaRPr>
        </a:p>
      </xdr:txBody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1" topLeftCell="B33" activePane="bottomLeft" state="frozen"/>
      <selection pane="topLeft" activeCell="A1" activeCellId="0" sqref="A1"/>
      <selection pane="bottomLeft" activeCell="F48" activeCellId="0" sqref="F48:I48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8000</v>
      </c>
      <c r="E5" s="1" t="n">
        <v>16000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5428.5714</v>
      </c>
      <c r="E6" s="1" t="n">
        <v>5429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5.75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5.75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5.75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5.75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5.75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5.75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5.75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3" t="s">
        <v>56</v>
      </c>
    </row>
    <row r="25" customFormat="false" ht="16.6" hidden="false" customHeight="false" outlineLevel="0" collapsed="false">
      <c r="A25" s="0" t="s">
        <v>57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3" t="s">
        <v>56</v>
      </c>
    </row>
    <row r="26" customFormat="false" ht="16.6" hidden="false" customHeight="false" outlineLevel="0" collapsed="false">
      <c r="A26" s="0" t="s">
        <v>58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3" t="s">
        <v>56</v>
      </c>
    </row>
    <row r="27" customFormat="false" ht="16.6" hidden="false" customHeight="false" outlineLevel="0" collapsed="false">
      <c r="A27" s="0" t="s">
        <v>59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3" t="s">
        <v>56</v>
      </c>
    </row>
    <row r="28" customFormat="false" ht="16.6" hidden="false" customHeight="false" outlineLevel="0" collapsed="false">
      <c r="A28" s="0" t="s">
        <v>60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3" t="s">
        <v>56</v>
      </c>
    </row>
    <row r="29" customFormat="false" ht="13.8" hidden="false" customHeight="false" outlineLevel="0" collapsed="false">
      <c r="A29" s="0" t="s">
        <v>61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3" t="s">
        <v>56</v>
      </c>
    </row>
    <row r="30" customFormat="false" ht="16.6" hidden="false" customHeight="false" outlineLevel="0" collapsed="false">
      <c r="A30" s="0" t="s">
        <v>62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3" t="s">
        <v>56</v>
      </c>
    </row>
    <row r="31" customFormat="false" ht="16.6" hidden="false" customHeight="false" outlineLevel="0" collapsed="false">
      <c r="A31" s="0" t="s">
        <v>63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3" t="s">
        <v>56</v>
      </c>
    </row>
    <row r="32" customFormat="false" ht="16.6" hidden="false" customHeight="false" outlineLevel="0" collapsed="false">
      <c r="A32" s="0" t="s">
        <v>64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3" t="s">
        <v>56</v>
      </c>
    </row>
    <row r="33" customFormat="false" ht="16.6" hidden="false" customHeight="false" outlineLevel="0" collapsed="false">
      <c r="A33" s="0" t="s">
        <v>65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3" t="s">
        <v>56</v>
      </c>
    </row>
    <row r="34" customFormat="false" ht="16.6" hidden="false" customHeight="false" outlineLevel="0" collapsed="false">
      <c r="A34" s="0" t="s">
        <v>66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3" t="s">
        <v>56</v>
      </c>
    </row>
    <row r="35" customFormat="false" ht="16.6" hidden="false" customHeight="false" outlineLevel="0" collapsed="false">
      <c r="A35" s="0" t="s">
        <v>67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3" t="s">
        <v>56</v>
      </c>
    </row>
    <row r="36" customFormat="false" ht="16.6" hidden="false" customHeight="false" outlineLevel="0" collapsed="false">
      <c r="A36" s="0" t="s">
        <v>68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3" t="s">
        <v>56</v>
      </c>
    </row>
    <row r="37" customFormat="false" ht="16.6" hidden="false" customHeight="false" outlineLevel="0" collapsed="false">
      <c r="A37" s="0" t="s">
        <v>69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3" t="s">
        <v>56</v>
      </c>
    </row>
    <row r="38" customFormat="false" ht="16.6" hidden="false" customHeight="false" outlineLevel="0" collapsed="false">
      <c r="A38" s="0" t="s">
        <v>70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3" t="s">
        <v>56</v>
      </c>
    </row>
    <row r="39" customFormat="false" ht="16.6" hidden="false" customHeight="false" outlineLevel="0" collapsed="false">
      <c r="A39" s="0" t="s">
        <v>71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3" t="s">
        <v>56</v>
      </c>
    </row>
    <row r="40" customFormat="false" ht="13.8" hidden="false" customHeight="false" outlineLevel="0" collapsed="false">
      <c r="A40" s="0" t="s">
        <v>72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55</v>
      </c>
      <c r="H40" s="2" t="s">
        <v>13</v>
      </c>
      <c r="I40" s="3" t="s">
        <v>73</v>
      </c>
    </row>
    <row r="41" customFormat="false" ht="13.8" hidden="false" customHeight="false" outlineLevel="0" collapsed="false">
      <c r="A41" s="0" t="s">
        <v>74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55</v>
      </c>
      <c r="H41" s="2" t="s">
        <v>13</v>
      </c>
      <c r="I41" s="3" t="s">
        <v>73</v>
      </c>
    </row>
    <row r="42" customFormat="false" ht="13.8" hidden="false" customHeight="false" outlineLevel="0" collapsed="false">
      <c r="A42" s="0" t="s">
        <v>75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55</v>
      </c>
      <c r="H42" s="2" t="s">
        <v>13</v>
      </c>
      <c r="I42" s="3" t="s">
        <v>73</v>
      </c>
    </row>
    <row r="43" customFormat="false" ht="13.8" hidden="false" customHeight="false" outlineLevel="0" collapsed="false">
      <c r="A43" s="0" t="s">
        <v>76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55</v>
      </c>
      <c r="H43" s="2" t="s">
        <v>13</v>
      </c>
      <c r="I43" s="3" t="s">
        <v>73</v>
      </c>
    </row>
    <row r="44" customFormat="false" ht="13.8" hidden="false" customHeight="false" outlineLevel="0" collapsed="false">
      <c r="A44" s="0" t="s">
        <v>77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55</v>
      </c>
      <c r="H44" s="2" t="s">
        <v>13</v>
      </c>
      <c r="I44" s="3" t="s">
        <v>73</v>
      </c>
    </row>
    <row r="45" customFormat="false" ht="13.8" hidden="false" customHeight="false" outlineLevel="0" collapsed="false">
      <c r="A45" s="0" t="s">
        <v>78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55</v>
      </c>
      <c r="H45" s="2" t="s">
        <v>13</v>
      </c>
      <c r="I45" s="3" t="s">
        <v>73</v>
      </c>
    </row>
    <row r="46" customFormat="false" ht="13.8" hidden="false" customHeight="false" outlineLevel="0" collapsed="false">
      <c r="A46" s="0" t="s">
        <v>79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55</v>
      </c>
      <c r="H46" s="2" t="s">
        <v>13</v>
      </c>
      <c r="I46" s="3" t="s">
        <v>73</v>
      </c>
    </row>
    <row r="47" customFormat="false" ht="13.8" hidden="false" customHeight="false" outlineLevel="0" collapsed="false">
      <c r="A47" s="0" t="s">
        <v>80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55</v>
      </c>
      <c r="H47" s="2" t="s">
        <v>13</v>
      </c>
      <c r="I47" s="3" t="s">
        <v>73</v>
      </c>
    </row>
    <row r="48" customFormat="false" ht="13.8" hidden="false" customHeight="false" outlineLevel="0" collapsed="false">
      <c r="A48" s="0" t="s">
        <v>81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55</v>
      </c>
      <c r="H48" s="2" t="s">
        <v>13</v>
      </c>
      <c r="I48" s="3" t="s">
        <v>73</v>
      </c>
    </row>
    <row r="49" customFormat="false" ht="13.8" hidden="false" customHeight="false" outlineLevel="0" collapsed="false">
      <c r="A49" s="0" t="s">
        <v>82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55</v>
      </c>
      <c r="H49" s="2" t="s">
        <v>13</v>
      </c>
      <c r="I49" s="3" t="s">
        <v>73</v>
      </c>
    </row>
    <row r="50" customFormat="false" ht="13.8" hidden="false" customHeight="false" outlineLevel="0" collapsed="false">
      <c r="A50" s="4" t="s">
        <v>83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55</v>
      </c>
      <c r="H50" s="2" t="s">
        <v>13</v>
      </c>
      <c r="I50" s="3" t="s">
        <v>73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55</v>
      </c>
      <c r="H51" s="2" t="s">
        <v>13</v>
      </c>
      <c r="I51" s="3" t="s">
        <v>73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55</v>
      </c>
      <c r="H52" s="2" t="s">
        <v>13</v>
      </c>
      <c r="I52" s="3" t="s">
        <v>73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55</v>
      </c>
      <c r="H53" s="2" t="s">
        <v>13</v>
      </c>
      <c r="I53" s="3" t="s">
        <v>73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55</v>
      </c>
      <c r="H54" s="2" t="s">
        <v>13</v>
      </c>
      <c r="I54" s="3" t="s">
        <v>73</v>
      </c>
    </row>
    <row r="55" customFormat="false" ht="16.6" hidden="false" customHeight="false" outlineLevel="0" collapsed="false">
      <c r="A55" s="0" t="s">
        <v>89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55</v>
      </c>
      <c r="H55" s="2" t="s">
        <v>13</v>
      </c>
      <c r="I55" s="3" t="s">
        <v>73</v>
      </c>
    </row>
    <row r="56" customFormat="false" ht="16.6" hidden="false" customHeight="false" outlineLevel="0" collapsed="false">
      <c r="A56" s="0" t="s">
        <v>90</v>
      </c>
      <c r="B56" s="3" t="n">
        <v>1</v>
      </c>
      <c r="C56" s="2" t="s">
        <v>91</v>
      </c>
      <c r="D56" s="2" t="n">
        <v>700</v>
      </c>
      <c r="E56" s="2" t="n">
        <v>700</v>
      </c>
      <c r="F56" s="2" t="s">
        <v>88</v>
      </c>
      <c r="G56" s="3" t="s">
        <v>55</v>
      </c>
      <c r="H56" s="2" t="s">
        <v>13</v>
      </c>
      <c r="I56" s="3" t="s">
        <v>73</v>
      </c>
    </row>
    <row r="57" customFormat="false" ht="16.6" hidden="false" customHeight="false" outlineLevel="0" collapsed="false">
      <c r="A57" s="0" t="s">
        <v>92</v>
      </c>
      <c r="B57" s="3" t="n">
        <v>1</v>
      </c>
      <c r="C57" s="2" t="s">
        <v>91</v>
      </c>
      <c r="D57" s="2" t="n">
        <v>700</v>
      </c>
      <c r="E57" s="2" t="n">
        <v>700</v>
      </c>
      <c r="F57" s="2" t="s">
        <v>88</v>
      </c>
      <c r="G57" s="3" t="s">
        <v>55</v>
      </c>
      <c r="H57" s="2" t="s">
        <v>13</v>
      </c>
      <c r="I57" s="3" t="s">
        <v>73</v>
      </c>
    </row>
    <row r="58" customFormat="false" ht="13.8" hidden="false" customHeight="false" outlineLevel="0" collapsed="false">
      <c r="A58" s="0" t="s">
        <v>93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55</v>
      </c>
      <c r="H58" s="2" t="s">
        <v>13</v>
      </c>
      <c r="I58" s="3" t="s">
        <v>73</v>
      </c>
    </row>
    <row r="59" customFormat="false" ht="13.8" hidden="false" customHeight="false" outlineLevel="0" collapsed="false">
      <c r="A59" s="0" t="s">
        <v>94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55</v>
      </c>
      <c r="H59" s="2" t="s">
        <v>13</v>
      </c>
      <c r="I59" s="3" t="s">
        <v>73</v>
      </c>
    </row>
    <row r="60" customFormat="false" ht="16.6" hidden="false" customHeight="false" outlineLevel="0" collapsed="false">
      <c r="A60" s="0" t="s">
        <v>95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55</v>
      </c>
      <c r="H60" s="2" t="s">
        <v>13</v>
      </c>
      <c r="I60" s="3" t="s">
        <v>73</v>
      </c>
    </row>
    <row r="61" customFormat="false" ht="13.8" hidden="false" customHeight="false" outlineLevel="0" collapsed="false">
      <c r="A61" s="0" t="s">
        <v>96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55</v>
      </c>
      <c r="H61" s="2" t="s">
        <v>13</v>
      </c>
      <c r="I61" s="3" t="s">
        <v>73</v>
      </c>
    </row>
    <row r="62" customFormat="false" ht="13.8" hidden="false" customHeight="false" outlineLevel="0" collapsed="false">
      <c r="A62" s="0" t="s">
        <v>97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55</v>
      </c>
      <c r="H62" s="2" t="s">
        <v>13</v>
      </c>
      <c r="I62" s="3" t="s">
        <v>73</v>
      </c>
    </row>
    <row r="63" customFormat="false" ht="13.8" hidden="false" customHeight="false" outlineLevel="0" collapsed="false">
      <c r="A63" s="0" t="s">
        <v>98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55</v>
      </c>
      <c r="H63" s="2" t="s">
        <v>13</v>
      </c>
      <c r="I63" s="3" t="s">
        <v>73</v>
      </c>
    </row>
    <row r="64" customFormat="false" ht="13.8" hidden="false" customHeight="false" outlineLevel="0" collapsed="false">
      <c r="A64" s="0" t="s">
        <v>99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55</v>
      </c>
      <c r="H64" s="2" t="s">
        <v>13</v>
      </c>
      <c r="I64" s="3" t="s">
        <v>73</v>
      </c>
    </row>
    <row r="65" customFormat="false" ht="16.6" hidden="false" customHeight="false" outlineLevel="0" collapsed="false">
      <c r="A65" s="0" t="s">
        <v>100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55</v>
      </c>
      <c r="H65" s="2" t="s">
        <v>13</v>
      </c>
      <c r="I65" s="3" t="s">
        <v>73</v>
      </c>
    </row>
    <row r="66" customFormat="false" ht="16.6" hidden="false" customHeight="false" outlineLevel="0" collapsed="false">
      <c r="A66" s="0" t="s">
        <v>101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55</v>
      </c>
      <c r="H66" s="2" t="s">
        <v>13</v>
      </c>
      <c r="I66" s="3" t="s">
        <v>73</v>
      </c>
    </row>
    <row r="67" customFormat="false" ht="16.6" hidden="false" customHeight="false" outlineLevel="0" collapsed="false">
      <c r="A67" s="0" t="s">
        <v>102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55</v>
      </c>
      <c r="H67" s="2" t="s">
        <v>13</v>
      </c>
      <c r="I67" s="3" t="s">
        <v>73</v>
      </c>
    </row>
    <row r="68" customFormat="false" ht="13.8" hidden="false" customHeight="false" outlineLevel="0" collapsed="false">
      <c r="A68" s="0" t="s">
        <v>103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55</v>
      </c>
      <c r="H68" s="2" t="s">
        <v>13</v>
      </c>
      <c r="I68" s="3" t="s">
        <v>73</v>
      </c>
    </row>
    <row r="69" customFormat="false" ht="13.8" hidden="false" customHeight="false" outlineLevel="0" collapsed="false">
      <c r="A69" s="0" t="s">
        <v>104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55</v>
      </c>
      <c r="H69" s="2" t="s">
        <v>13</v>
      </c>
      <c r="I69" s="3" t="s">
        <v>73</v>
      </c>
    </row>
    <row r="70" customFormat="false" ht="16.6" hidden="false" customHeight="false" outlineLevel="0" collapsed="false">
      <c r="A70" s="0" t="s">
        <v>105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55</v>
      </c>
      <c r="H70" s="2" t="s">
        <v>13</v>
      </c>
      <c r="I70" s="3" t="s">
        <v>73</v>
      </c>
    </row>
    <row r="71" customFormat="false" ht="16.6" hidden="false" customHeight="false" outlineLevel="0" collapsed="false">
      <c r="A71" s="0" t="s">
        <v>106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55</v>
      </c>
      <c r="H71" s="2" t="s">
        <v>13</v>
      </c>
      <c r="I71" s="3" t="s">
        <v>73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I8" activeCellId="1" sqref="F48:I48 I8"/>
    </sheetView>
  </sheetViews>
  <sheetFormatPr defaultColWidth="8.628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14" activeCellId="1" sqref="F48:I48 E14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24.71"/>
    <col collapsed="false" customWidth="true" hidden="false" outlineLevel="0" max="3" min="3" style="0" width="18"/>
    <col collapsed="false" customWidth="true" hidden="false" outlineLevel="0" max="6" min="6" style="0" width="41.29"/>
    <col collapsed="false" customWidth="true" hidden="false" outlineLevel="0" max="7" min="7" style="0" width="11.59"/>
  </cols>
  <sheetData>
    <row r="1" customFormat="false" ht="15.75" hidden="false" customHeight="false" outlineLevel="0" collapsed="false">
      <c r="A1" s="0" t="s">
        <v>107</v>
      </c>
      <c r="B1" s="0" t="s">
        <v>108</v>
      </c>
      <c r="C1" s="0" t="s">
        <v>109</v>
      </c>
      <c r="D1" s="0" t="s">
        <v>110</v>
      </c>
      <c r="F1" s="0" t="s">
        <v>111</v>
      </c>
      <c r="G1" s="0" t="s">
        <v>112</v>
      </c>
    </row>
    <row r="2" customFormat="false" ht="15.75" hidden="false" customHeight="false" outlineLevel="0" collapsed="false">
      <c r="A2" s="0" t="n">
        <v>62939076</v>
      </c>
      <c r="B2" s="0" t="s">
        <v>113</v>
      </c>
      <c r="C2" s="0" t="s">
        <v>114</v>
      </c>
      <c r="D2" s="0" t="s">
        <v>115</v>
      </c>
      <c r="E2" s="0" t="s">
        <v>116</v>
      </c>
      <c r="F2" s="0" t="s">
        <v>117</v>
      </c>
      <c r="G2" s="0" t="s">
        <v>118</v>
      </c>
    </row>
    <row r="3" customFormat="false" ht="15.75" hidden="false" customHeight="false" outlineLevel="0" collapsed="false">
      <c r="A3" s="0" t="n">
        <v>46270250</v>
      </c>
      <c r="B3" s="0" t="s">
        <v>119</v>
      </c>
      <c r="C3" s="0" t="s">
        <v>120</v>
      </c>
      <c r="D3" s="0" t="s">
        <v>121</v>
      </c>
      <c r="E3" s="0" t="s">
        <v>122</v>
      </c>
      <c r="F3" s="0" t="s">
        <v>123</v>
      </c>
      <c r="G3" s="0" t="s">
        <v>124</v>
      </c>
    </row>
    <row r="4" customFormat="false" ht="15.75" hidden="false" customHeight="false" outlineLevel="0" collapsed="false">
      <c r="A4" s="0" t="n">
        <v>16894172</v>
      </c>
      <c r="B4" s="0" t="s">
        <v>125</v>
      </c>
      <c r="C4" s="5" t="s">
        <v>126</v>
      </c>
      <c r="D4" s="0" t="s">
        <v>121</v>
      </c>
      <c r="E4" s="0" t="s">
        <v>127</v>
      </c>
      <c r="F4" s="0" t="s">
        <v>128</v>
      </c>
      <c r="G4" s="0" t="s">
        <v>129</v>
      </c>
    </row>
    <row r="5" customFormat="false" ht="15.75" hidden="false" customHeight="false" outlineLevel="0" collapsed="false">
      <c r="B5" s="0" t="s">
        <v>130</v>
      </c>
      <c r="C5" s="5" t="s">
        <v>131</v>
      </c>
      <c r="D5" s="0" t="s">
        <v>132</v>
      </c>
      <c r="E5" s="0" t="s">
        <v>133</v>
      </c>
      <c r="G5" s="0" t="s">
        <v>134</v>
      </c>
    </row>
    <row r="6" customFormat="false" ht="15.75" hidden="false" customHeight="false" outlineLevel="0" collapsed="false">
      <c r="B6" s="0" t="s">
        <v>130</v>
      </c>
      <c r="C6" s="0" t="s">
        <v>135</v>
      </c>
      <c r="D6" s="0" t="s">
        <v>136</v>
      </c>
      <c r="E6" s="0" t="s">
        <v>137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1" sqref="F48:I48 B9"/>
    </sheetView>
  </sheetViews>
  <sheetFormatPr defaultColWidth="8.62890625" defaultRowHeight="15.75" zeroHeight="false" outlineLevelRow="0" outlineLevelCol="0"/>
  <cols>
    <col collapsed="false" customWidth="true" hidden="false" outlineLevel="0" max="2" min="1" style="0" width="12.86"/>
  </cols>
  <sheetData>
    <row r="1" customFormat="false" ht="15.75" hidden="false" customHeight="false" outlineLevel="0" collapsed="false">
      <c r="A1" s="0" t="s">
        <v>138</v>
      </c>
      <c r="B1" s="0" t="s">
        <v>139</v>
      </c>
      <c r="C1" s="0" t="s">
        <v>140</v>
      </c>
    </row>
    <row r="2" customFormat="false" ht="15.75" hidden="false" customHeight="false" outlineLevel="0" collapsed="false">
      <c r="A2" s="1" t="s">
        <v>12</v>
      </c>
      <c r="B2" s="1" t="n">
        <v>0</v>
      </c>
      <c r="C2" s="0" t="n">
        <f aca="false">SUM(清單!E2:E4)</f>
        <v>15000</v>
      </c>
    </row>
    <row r="3" customFormat="false" ht="15.75" hidden="false" customHeight="false" outlineLevel="0" collapsed="false">
      <c r="A3" s="1" t="s">
        <v>22</v>
      </c>
      <c r="B3" s="1" t="n">
        <v>1071</v>
      </c>
      <c r="C3" s="0" t="n">
        <f aca="false">SUM(清單!E5:E6)+B3</f>
        <v>22500</v>
      </c>
    </row>
    <row r="4" customFormat="false" ht="15.75" hidden="false" customHeight="false" outlineLevel="0" collapsed="false">
      <c r="A4" s="1" t="s">
        <v>27</v>
      </c>
      <c r="B4" s="0" t="n">
        <v>0</v>
      </c>
      <c r="C4" s="0" t="n">
        <f aca="false">SUM(清單!E7:E14)</f>
        <v>21150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2025-11-17T15:40:20Z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