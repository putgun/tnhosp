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" sheetId="1" state="visible" r:id="rId2"/>
    <sheet name="2026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<sst xmlns="http://schemas.openxmlformats.org/spreadsheetml/2006/main" count="540" uniqueCount="144">
  <si>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</si>
  <si>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</si>
  <si>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</si>
  <si>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</si>
  <si>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</si>
  <si>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</si>
  <si>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</si>
  <si>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</si>
  <si>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</si>
  <si>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</si>
  <si>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</si>
  <si>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</si>
  <si>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</si>
  <si>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</si>
  <si>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</si>
  <si>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</si>
  <si>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</si>
  <si>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</si>
  <si>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</si>
  <si>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</si>
  <si>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</si>
  <si>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</si>
  <si>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</si>
  <si>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</si>
  <si>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</si>
  <si>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</si>
  <si>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</si>
  <si>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</si>
  <si>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</si>
  <si>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</si>
  <si>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</si>
  <si>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</si>
  <si>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</si>
  <si>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</si>
  <si>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</si>
  <si>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</si>
  <si>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</si>
  <si>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</si>
  <si>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</si>
  <si>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</si>
  <si>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</si>
  <si>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</si>
  <si>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</si>
  <si>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</si>
  <si>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</si>
  <si>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</si>
  <si>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</si>
  <si>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</si>
  <si>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</si>
  <si>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</si>
  <si>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</si>
  <si>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</si>
  <si>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</si>
  <si>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</si>
  <si>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</si>
  <si>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</si>
  <si>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</si>
  <si>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</si>
  <si>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</si>
  <si>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</si>
  <si>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</si>
  <si>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</si>
  <si>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</si>
  <si>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</si>
  <si>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</si>
  <si>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</si>
  <si>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</si>
  <si>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</si>
  <si>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</si>
  <si>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</si>
  <si>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</si>
  <si>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</si>
  <si>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</si>
  <si>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</si>
  <si>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</si>
  <si>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</si>
  <si>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</si>
  <si>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</si>
  <si>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</si>
  <si>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</si>
  <si>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</si>
  <si>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</si>
  <si>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</si>
  <si>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</si>
  <si>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</si>
  <si>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</si>
  <si>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</si>
  <si>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</si>
  <si>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</si>
  <si>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</si>
  <si>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</si>
  <si>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</si>
  <si>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</si>
  <si>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</si>
  <si>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</si>
  <si>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</si>
  <si>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</si>
  <si>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</si>
  <si>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</si>
  <si>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</si>
  <si>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</si>
  <si>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</si>
  <si>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</si>
  <si>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</si>
  <si>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</si>
  <si>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</si>
  <si>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</si>
  <si>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</si>
  <si>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</si>
  <si>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</si>
  <si>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</si>
  <si>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</si>
  <si>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</si>
  <si>
    <t xml:space="preserve">Deuterium Lamp L6585-02 80+-10V 氘燈壹式</t>
  </si>
  <si>
    <t xml:space="preserve">台</t>
  </si>
  <si>
    <t xml:space="preserve">博大</t>
  </si>
  <si>
    <t xml:space="preserve">XV36859693</t>
  </si>
  <si>
    <t xml:space="preserve">試驗物質抗登革病毒活性測試平台</t>
  </si>
  <si>
    <t xml:space="preserve">項</t>
  </si>
  <si>
    <t xml:space="preserve">XV36764890</t>
  </si>
  <si>
    <t xml:space="preserve">Gly-Pro-pNA hydrochloride (CAS #103213-34-9) 25mg 試劑</t>
  </si>
  <si>
    <t xml:space="preserve">瑞柏</t>
  </si>
  <si>
    <t xml:space="preserve">ZG07609222</t>
  </si>
  <si>
    <t xml:space="preserve">Resorufin alpha-D-glucopyranoside (CAS# 136565-96-3) 1mg 試劑</t>
  </si>
  <si>
    <t xml:space="preserve">OMNIMMPR RED fluorogenic substrate 100ug 試劑</t>
  </si>
  <si>
    <t xml:space="preserve">玻璃中心軸</t>
  </si>
  <si>
    <t xml:space="preserve">XX39462904</t>
  </si>
  <si>
    <t xml:space="preserve">玻璃進料/卸壓閥</t>
  </si>
  <si>
    <t xml:space="preserve">真空墊片</t>
  </si>
  <si>
    <t xml:space="preserve">球形轉接頭(29/32轉13/425)100ml</t>
  </si>
  <si>
    <t xml:space="preserve">台製玻璃量筒 500ml</t>
  </si>
  <si>
    <t xml:space="preserve">PEEK管(1/16" x 0.01") 30m/條</t>
  </si>
  <si>
    <t xml:space="preserve">條</t>
  </si>
  <si>
    <t xml:space="preserve">Vici雙頭板手(1/4" &amp; 5/16")</t>
  </si>
  <si>
    <t xml:space="preserve">不銹鋼管 1/16" x 0.02"(0.2米/條)</t>
  </si>
  <si>
    <t xml:space="preserve">Rheodyne PEEK一體成型螺絲</t>
  </si>
  <si>
    <t xml:space="preserve">NU137101 96well全黑螢光培養盤</t>
  </si>
  <si>
    <t xml:space="preserve">GL45 二孔流動相蓋 1/8"</t>
  </si>
  <si>
    <t xml:space="preserve">PEEK螺絲含迫緊環 1/8"</t>
  </si>
  <si>
    <t xml:space="preserve">封口膜</t>
  </si>
  <si>
    <t xml:space="preserve">捲</t>
  </si>
  <si>
    <t xml:space="preserve">DTNB (CAS No:69-78-3) 1g 試劑</t>
  </si>
  <si>
    <t xml:space="preserve">Ac-Pro-Leu-Gly-(2-Mercapto-4-Methylpentanoyl)-Leu-Gly
-OEt (98992-65-5) 1mg</t>
  </si>
  <si>
    <t xml:space="preserve">Recombinant Human MMP-1 His Protein 50 ug 試劑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</si>
</sst>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true" showOutlineSymbols="true" defaultGridColor="true" view="normal" topLeftCell="B19" colorId="64" zoomScale="160" zoomScaleNormal="160" zoomScalePageLayoutView="100" workbookViewId="0">
      <selection pane="topLeft" activeCell="F30" activeCellId="0" sqref="F30"/>
    </sheetView>
  </sheetViews>
  <sheetFormatPr defaultColWidth="10.41796875" defaultRowHeight="13.8" zeroHeight="false" outlineLevelRow="0" outlineLevelCol="0"/>
  <cols>
    <col collapsed="false" customWidth="true" hidden="false" outlineLevel="0" max="1" min="1" style="5" width="58.58"/>
    <col collapsed="false" customWidth="false" hidden="false" outlineLevel="0" max="6" min="2" style="5" width="10.41"/>
    <col collapsed="false" customWidth="true" hidden="false" outlineLevel="0" max="7" min="7" style="5" width="12.06"/>
    <col collapsed="false" customWidth="false" hidden="false" outlineLevel="0" max="1024" min="8" style="5" width="10.41"/>
  </cols>
  <sheetData>
    <row r="1" customFormat="false" ht="13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customFormat="false" ht="17.25" hidden="false" customHeight="false" outlineLevel="0" collapsed="false">
      <c r="A2" s="5" t="s">
        <v>113</v>
      </c>
      <c r="B2" s="1" t="n">
        <v>1</v>
      </c>
      <c r="C2" s="1" t="s">
        <v>114</v>
      </c>
      <c r="D2" s="5" t="n">
        <v>40818</v>
      </c>
      <c r="E2" s="5" t="n">
        <f aca="false">B2*D2</f>
        <v>40818</v>
      </c>
      <c r="F2" s="5" t="s">
        <v>115</v>
      </c>
      <c r="G2" s="5" t="s">
        <v>116</v>
      </c>
      <c r="H2" s="1" t="s">
        <v>13</v>
      </c>
    </row>
    <row r="3" customFormat="false" ht="13.8" hidden="false" customHeight="false" outlineLevel="0" collapsed="false">
      <c r="A3" s="5" t="s">
        <v>117</v>
      </c>
      <c r="B3" s="1" t="n">
        <v>7</v>
      </c>
      <c r="C3" s="1" t="s">
        <v>118</v>
      </c>
      <c r="D3" s="5" t="n">
        <v>1200</v>
      </c>
      <c r="E3" s="5" t="n">
        <f aca="false">B3*D3</f>
        <v>8400</v>
      </c>
      <c r="F3" s="5" t="s">
        <v>47</v>
      </c>
      <c r="G3" s="5" t="s">
        <v>119</v>
      </c>
      <c r="H3" s="1" t="s">
        <v>13</v>
      </c>
    </row>
    <row r="4" customFormat="false" ht="17.15" hidden="false" customHeight="false" outlineLevel="0" collapsed="false">
      <c r="A4" s="5" t="s">
        <v>120</v>
      </c>
      <c r="B4" s="1" t="n">
        <v>1</v>
      </c>
      <c r="C4" s="1" t="s">
        <v>36</v>
      </c>
      <c r="D4" s="5" t="n">
        <v>4700</v>
      </c>
      <c r="E4" s="5" t="n">
        <f aca="false">B4*D4</f>
        <v>4700</v>
      </c>
      <c r="F4" s="5" t="s">
        <v>121</v>
      </c>
      <c r="G4" s="5" t="s">
        <v>122</v>
      </c>
      <c r="H4" s="1" t="s">
        <v>13</v>
      </c>
    </row>
    <row r="5" customFormat="false" ht="17.15" hidden="false" customHeight="false" outlineLevel="0" collapsed="false">
      <c r="A5" s="5" t="s">
        <v>123</v>
      </c>
      <c r="B5" s="1" t="n">
        <v>1</v>
      </c>
      <c r="C5" s="1" t="s">
        <v>36</v>
      </c>
      <c r="D5" s="5" t="n">
        <v>9500</v>
      </c>
      <c r="E5" s="5" t="n">
        <f aca="false">B5*D5</f>
        <v>9500</v>
      </c>
      <c r="F5" s="5" t="s">
        <v>121</v>
      </c>
      <c r="G5" s="5" t="s">
        <v>122</v>
      </c>
      <c r="H5" s="1" t="s">
        <v>13</v>
      </c>
    </row>
    <row r="6" customFormat="false" ht="17.15" hidden="false" customHeight="false" outlineLevel="0" collapsed="false">
      <c r="A6" s="5" t="s">
        <v>124</v>
      </c>
      <c r="B6" s="1" t="n">
        <v>1</v>
      </c>
      <c r="C6" s="1" t="s">
        <v>36</v>
      </c>
      <c r="D6" s="5" t="n">
        <v>11600</v>
      </c>
      <c r="E6" s="5" t="n">
        <f aca="false">B6*D6</f>
        <v>11600</v>
      </c>
      <c r="F6" s="5" t="s">
        <v>121</v>
      </c>
      <c r="G6" s="5" t="s">
        <v>122</v>
      </c>
      <c r="H6" s="1" t="s">
        <v>13</v>
      </c>
    </row>
    <row r="7" customFormat="false" ht="13.8" hidden="false" customHeight="false" outlineLevel="0" collapsed="false">
      <c r="A7" s="5" t="s">
        <v>125</v>
      </c>
      <c r="B7" s="1" t="n">
        <v>2</v>
      </c>
      <c r="C7" s="1" t="s">
        <v>10</v>
      </c>
      <c r="D7" s="5" t="n">
        <v>2550</v>
      </c>
      <c r="E7" s="5" t="n">
        <f aca="false">B7*D7</f>
        <v>5100</v>
      </c>
      <c r="F7" s="5" t="s">
        <v>38</v>
      </c>
      <c r="G7" s="5" t="s">
        <v>126</v>
      </c>
      <c r="H7" s="1" t="s">
        <v>13</v>
      </c>
    </row>
    <row r="8" customFormat="false" ht="17.15" hidden="false" customHeight="false" outlineLevel="0" collapsed="false">
      <c r="A8" s="5" t="s">
        <v>127</v>
      </c>
      <c r="B8" s="1" t="n">
        <v>3</v>
      </c>
      <c r="C8" s="1" t="s">
        <v>10</v>
      </c>
      <c r="D8" s="5" t="n">
        <v>1400</v>
      </c>
      <c r="E8" s="5" t="n">
        <f aca="false">B8*D8</f>
        <v>4200</v>
      </c>
      <c r="F8" s="5" t="s">
        <v>38</v>
      </c>
      <c r="G8" s="5" t="s">
        <v>126</v>
      </c>
      <c r="H8" s="1" t="s">
        <v>13</v>
      </c>
    </row>
    <row r="9" customFormat="false" ht="13.8" hidden="false" customHeight="false" outlineLevel="0" collapsed="false">
      <c r="A9" s="5" t="s">
        <v>128</v>
      </c>
      <c r="B9" s="1" t="n">
        <v>4</v>
      </c>
      <c r="C9" s="1" t="s">
        <v>18</v>
      </c>
      <c r="D9" s="5" t="n">
        <v>2200</v>
      </c>
      <c r="E9" s="5" t="n">
        <f aca="false">B9*D9</f>
        <v>8800</v>
      </c>
      <c r="F9" s="5" t="s">
        <v>38</v>
      </c>
      <c r="G9" s="5" t="s">
        <v>126</v>
      </c>
      <c r="H9" s="1" t="s">
        <v>13</v>
      </c>
    </row>
    <row r="10" customFormat="false" ht="17.15" hidden="false" customHeight="false" outlineLevel="0" collapsed="false">
      <c r="A10" s="5" t="s">
        <v>129</v>
      </c>
      <c r="B10" s="1" t="n">
        <v>1</v>
      </c>
      <c r="C10" s="1" t="s">
        <v>18</v>
      </c>
      <c r="D10" s="5" t="n">
        <v>550</v>
      </c>
      <c r="E10" s="5" t="n">
        <f aca="false">B10*D10</f>
        <v>550</v>
      </c>
      <c r="F10" s="5" t="s">
        <v>54</v>
      </c>
      <c r="H10" s="1" t="s">
        <v>13</v>
      </c>
    </row>
    <row r="11" customFormat="false" ht="17.15" hidden="false" customHeight="false" outlineLevel="0" collapsed="false">
      <c r="A11" s="5" t="s">
        <v>130</v>
      </c>
      <c r="B11" s="1" t="n">
        <v>2</v>
      </c>
      <c r="C11" s="1" t="s">
        <v>18</v>
      </c>
      <c r="D11" s="5" t="n">
        <v>140</v>
      </c>
      <c r="E11" s="5" t="n">
        <f aca="false">B11*D11</f>
        <v>280</v>
      </c>
      <c r="F11" s="5" t="s">
        <v>54</v>
      </c>
      <c r="H11" s="1" t="s">
        <v>13</v>
      </c>
    </row>
    <row r="12" customFormat="false" ht="17.15" hidden="false" customHeight="false" outlineLevel="0" collapsed="false">
      <c r="A12" s="5" t="s">
        <v>131</v>
      </c>
      <c r="B12" s="1" t="n">
        <v>1</v>
      </c>
      <c r="C12" s="1" t="s">
        <v>132</v>
      </c>
      <c r="D12" s="5" t="n">
        <v>100</v>
      </c>
      <c r="E12" s="5" t="n">
        <f aca="false">B12*D12</f>
        <v>100</v>
      </c>
      <c r="F12" s="5" t="s">
        <v>54</v>
      </c>
      <c r="H12" s="1" t="s">
        <v>13</v>
      </c>
    </row>
    <row r="13" customFormat="false" ht="17.15" hidden="false" customHeight="false" outlineLevel="0" collapsed="false">
      <c r="A13" s="5" t="s">
        <v>56</v>
      </c>
      <c r="B13" s="1" t="n">
        <v>6</v>
      </c>
      <c r="C13" s="1" t="s">
        <v>16</v>
      </c>
      <c r="D13" s="5" t="n">
        <v>660</v>
      </c>
      <c r="E13" s="5" t="n">
        <f aca="false">B13*D13</f>
        <v>3960</v>
      </c>
      <c r="F13" s="5" t="s">
        <v>54</v>
      </c>
      <c r="H13" s="1" t="s">
        <v>13</v>
      </c>
    </row>
    <row r="14" customFormat="false" ht="17.15" hidden="false" customHeight="false" outlineLevel="0" collapsed="false">
      <c r="A14" s="5" t="s">
        <v>133</v>
      </c>
      <c r="B14" s="1" t="n">
        <v>1</v>
      </c>
      <c r="C14" s="1" t="s">
        <v>10</v>
      </c>
      <c r="D14" s="5" t="n">
        <v>1050</v>
      </c>
      <c r="E14" s="5" t="n">
        <f aca="false">B14*D14</f>
        <v>1050</v>
      </c>
      <c r="F14" s="5" t="s">
        <v>54</v>
      </c>
      <c r="H14" s="1" t="s">
        <v>13</v>
      </c>
    </row>
    <row r="15" customFormat="false" ht="17.15" hidden="false" customHeight="false" outlineLevel="0" collapsed="false">
      <c r="A15" s="5" t="s">
        <v>134</v>
      </c>
      <c r="B15" s="1" t="n">
        <v>1</v>
      </c>
      <c r="C15" s="1" t="s">
        <v>132</v>
      </c>
      <c r="D15" s="5" t="n">
        <v>60</v>
      </c>
      <c r="E15" s="5" t="n">
        <f aca="false">B15*D15</f>
        <v>60</v>
      </c>
      <c r="F15" s="5" t="s">
        <v>54</v>
      </c>
      <c r="H15" s="1" t="s">
        <v>13</v>
      </c>
    </row>
    <row r="16" customFormat="false" ht="17.15" hidden="false" customHeight="false" outlineLevel="0" collapsed="false">
      <c r="A16" s="5" t="s">
        <v>135</v>
      </c>
      <c r="B16" s="1" t="n">
        <v>1</v>
      </c>
      <c r="C16" s="1" t="s">
        <v>18</v>
      </c>
      <c r="D16" s="5" t="n">
        <v>250</v>
      </c>
      <c r="E16" s="5" t="n">
        <f aca="false">B16*D16</f>
        <v>250</v>
      </c>
      <c r="F16" s="5" t="s">
        <v>54</v>
      </c>
      <c r="H16" s="1" t="s">
        <v>13</v>
      </c>
    </row>
    <row r="17" customFormat="false" ht="17.15" hidden="false" customHeight="false" outlineLevel="0" collapsed="false">
      <c r="A17" s="5" t="s">
        <v>136</v>
      </c>
      <c r="B17" s="1" t="n">
        <v>1</v>
      </c>
      <c r="C17" s="1" t="s">
        <v>51</v>
      </c>
      <c r="D17" s="5" t="n">
        <v>2500</v>
      </c>
      <c r="E17" s="5" t="n">
        <f aca="false">B17*D17</f>
        <v>2500</v>
      </c>
      <c r="F17" s="5" t="s">
        <v>54</v>
      </c>
      <c r="H17" s="1" t="s">
        <v>13</v>
      </c>
    </row>
    <row r="18" customFormat="false" ht="17.15" hidden="false" customHeight="false" outlineLevel="0" collapsed="false">
      <c r="A18" s="5" t="s">
        <v>137</v>
      </c>
      <c r="B18" s="1" t="n">
        <v>4</v>
      </c>
      <c r="C18" s="1" t="s">
        <v>18</v>
      </c>
      <c r="D18" s="5" t="n">
        <v>550</v>
      </c>
      <c r="E18" s="5" t="n">
        <f aca="false">B18*D18</f>
        <v>2200</v>
      </c>
      <c r="F18" s="5" t="s">
        <v>54</v>
      </c>
      <c r="H18" s="1" t="s">
        <v>13</v>
      </c>
    </row>
    <row r="19" customFormat="false" ht="17.15" hidden="false" customHeight="false" outlineLevel="0" collapsed="false">
      <c r="A19" s="5" t="s">
        <v>138</v>
      </c>
      <c r="B19" s="1" t="n">
        <v>8</v>
      </c>
      <c r="C19" s="1" t="s">
        <v>18</v>
      </c>
      <c r="D19" s="5" t="n">
        <v>390</v>
      </c>
      <c r="E19" s="5" t="n">
        <f aca="false">B19*D19</f>
        <v>3120</v>
      </c>
      <c r="F19" s="5" t="s">
        <v>54</v>
      </c>
      <c r="H19" s="1" t="s">
        <v>13</v>
      </c>
    </row>
    <row r="20" customFormat="false" ht="13.8" hidden="false" customHeight="false" outlineLevel="0" collapsed="false">
      <c r="A20" s="5" t="s">
        <v>139</v>
      </c>
      <c r="B20" s="1" t="n">
        <v>1</v>
      </c>
      <c r="C20" s="1" t="s">
        <v>140</v>
      </c>
      <c r="D20" s="5" t="n">
        <v>620</v>
      </c>
      <c r="E20" s="5" t="n">
        <f aca="false">B20*D20</f>
        <v>620</v>
      </c>
      <c r="F20" s="5" t="s">
        <v>54</v>
      </c>
      <c r="H20" s="1" t="s">
        <v>13</v>
      </c>
    </row>
    <row r="21" customFormat="false" ht="17.25" hidden="false" customHeight="false" outlineLevel="0" collapsed="false">
      <c r="A21" s="5" t="s">
        <v>141</v>
      </c>
      <c r="B21" s="1" t="n">
        <v>1</v>
      </c>
      <c r="C21" s="1" t="s">
        <v>36</v>
      </c>
      <c r="D21" s="5" t="n">
        <v>1200</v>
      </c>
      <c r="E21" s="5" t="n">
        <f aca="false">B21*D21</f>
        <v>1200</v>
      </c>
      <c r="F21" s="5" t="s">
        <v>121</v>
      </c>
      <c r="H21" s="1" t="s">
        <v>13</v>
      </c>
    </row>
    <row r="22" customFormat="false" ht="33.1" hidden="false" customHeight="false" outlineLevel="0" collapsed="false">
      <c r="A22" s="7" t="s">
        <v>142</v>
      </c>
      <c r="B22" s="1" t="n">
        <v>1</v>
      </c>
      <c r="C22" s="1" t="s">
        <v>36</v>
      </c>
      <c r="D22" s="5" t="n">
        <v>16700</v>
      </c>
      <c r="E22" s="5" t="n">
        <f aca="false">B22*D22</f>
        <v>16700</v>
      </c>
      <c r="F22" s="5" t="s">
        <v>121</v>
      </c>
      <c r="H22" s="1" t="s">
        <v>13</v>
      </c>
    </row>
    <row r="23" customFormat="false" ht="17.25" hidden="false" customHeight="false" outlineLevel="0" collapsed="false">
      <c r="A23" s="5" t="s">
        <v>143</v>
      </c>
      <c r="B23" s="1" t="n">
        <v>1</v>
      </c>
      <c r="C23" s="1" t="s">
        <v>36</v>
      </c>
      <c r="D23" s="5" t="n">
        <v>10000</v>
      </c>
      <c r="E23" s="5" t="n">
        <f aca="false">B23*D23</f>
        <v>10000</v>
      </c>
      <c r="F23" s="5" t="s">
        <v>121</v>
      </c>
      <c r="H23" s="1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2026-05-14T16:32:24Z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